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filterPrivacy="1" defaultThemeVersion="124226"/>
  <bookViews>
    <workbookView xWindow="285" yWindow="135" windowWidth="16140" windowHeight="9990"/>
  </bookViews>
  <sheets>
    <sheet name="Laporan per Instruktur" sheetId="2" r:id="rId1"/>
    <sheet name="Detail Instruktur per Bulan" sheetId="3" r:id="rId2"/>
    <sheet name="Summary Instruktur per Bulan" sheetId="4" r:id="rId3"/>
  </sheets>
  <calcPr calcId="124519"/>
  <fileRecoveryPr autoRecover="0"/>
</workbook>
</file>

<file path=xl/calcChain.xml><?xml version="1.0" encoding="utf-8"?>
<calcChain xmlns="http://schemas.openxmlformats.org/spreadsheetml/2006/main">
  <c r="AF17" i="3"/>
  <c r="AE17"/>
  <c r="AD17"/>
  <c r="AC17"/>
  <c r="AB17"/>
  <c r="AA17"/>
  <c r="Z17"/>
  <c r="Y17"/>
  <c r="X17"/>
  <c r="W17"/>
  <c r="V17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AG16"/>
  <c r="AG15"/>
  <c r="AG8"/>
  <c r="AG7"/>
  <c r="AG9" s="1"/>
  <c r="B6" i="4" s="1"/>
  <c r="D9" i="3"/>
  <c r="E9"/>
  <c r="F9"/>
  <c r="G9"/>
  <c r="H9"/>
  <c r="I9"/>
  <c r="J9"/>
  <c r="K9"/>
  <c r="L9"/>
  <c r="M9"/>
  <c r="N9"/>
  <c r="O9"/>
  <c r="P9"/>
  <c r="Q9"/>
  <c r="R9"/>
  <c r="S9"/>
  <c r="T9"/>
  <c r="U9"/>
  <c r="V9"/>
  <c r="W9"/>
  <c r="X9"/>
  <c r="Y9"/>
  <c r="Z9"/>
  <c r="AA9"/>
  <c r="AB9"/>
  <c r="AC9"/>
  <c r="AD9"/>
  <c r="AE9"/>
  <c r="AF9"/>
  <c r="C9"/>
  <c r="D35" i="2"/>
  <c r="AG17" i="3" l="1"/>
  <c r="B7" i="4" s="1"/>
</calcChain>
</file>

<file path=xl/sharedStrings.xml><?xml version="1.0" encoding="utf-8"?>
<sst xmlns="http://schemas.openxmlformats.org/spreadsheetml/2006/main" count="74" uniqueCount="28">
  <si>
    <t>Class Time</t>
  </si>
  <si>
    <t>Class Name</t>
  </si>
  <si>
    <t>Baby Class (Wee Crawl 6-12 mth)</t>
  </si>
  <si>
    <t>Evan</t>
  </si>
  <si>
    <t>Baby Class (Wee Run 2-3 yrs)</t>
  </si>
  <si>
    <t>Fitri</t>
  </si>
  <si>
    <t>Baby Gymnast 2-3 yrs</t>
  </si>
  <si>
    <t>Ballet 3-5 yrs</t>
  </si>
  <si>
    <t>Tanggal</t>
  </si>
  <si>
    <t>Participants</t>
  </si>
  <si>
    <t>Instructure Report</t>
  </si>
  <si>
    <t>Keterangan :</t>
  </si>
  <si>
    <t xml:space="preserve">Instructure : </t>
  </si>
  <si>
    <t>Assistant</t>
  </si>
  <si>
    <t>Monthly Instructure Report bisa di print per instruktur, termasuk assistant</t>
  </si>
  <si>
    <t>Total Attendance</t>
  </si>
  <si>
    <t>Instruktur berapa kali mengajar</t>
  </si>
  <si>
    <t>Maya</t>
  </si>
  <si>
    <t>Wiwit</t>
  </si>
  <si>
    <t>Total Attandance</t>
  </si>
  <si>
    <t>INSTRUCTURE REPORT</t>
  </si>
  <si>
    <t>Instructure</t>
  </si>
  <si>
    <t>Name</t>
  </si>
  <si>
    <t>SUMMARY INSTRUCTURE REPORT</t>
  </si>
  <si>
    <t>Attendance</t>
  </si>
  <si>
    <t>Harus menampilkan seluruh "Instruktur" termasuk "Asistant"</t>
  </si>
  <si>
    <t>Keterangan : Menampilkan seluruh instruktur</t>
  </si>
  <si>
    <t>Keterangan :Menampilkan seluruh assistant</t>
  </si>
</sst>
</file>

<file path=xl/styles.xml><?xml version="1.0" encoding="utf-8"?>
<styleSheet xmlns="http://schemas.openxmlformats.org/spreadsheetml/2006/main">
  <fonts count="12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b/>
      <sz val="16"/>
      <name val="Arial"/>
      <family val="2"/>
    </font>
    <font>
      <b/>
      <sz val="20"/>
      <name val="Arial"/>
      <family val="2"/>
    </font>
    <font>
      <b/>
      <sz val="10"/>
      <color rgb="FFFF0000"/>
      <name val="Arial"/>
      <family val="2"/>
    </font>
    <font>
      <b/>
      <sz val="20"/>
      <color rgb="FFFF0000"/>
      <name val="Arial"/>
      <family val="2"/>
    </font>
    <font>
      <sz val="10"/>
      <color rgb="FFFF0000"/>
      <name val="Arial"/>
      <family val="2"/>
    </font>
    <font>
      <b/>
      <sz val="12"/>
      <color rgb="FFFF0000"/>
      <name val="Arial"/>
      <family val="2"/>
    </font>
    <font>
      <b/>
      <sz val="14"/>
      <color rgb="FFFF0000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1" fontId="0" fillId="0" borderId="0" xfId="0" applyNumberFormat="1" applyAlignment="1">
      <alignment horizontal="center"/>
    </xf>
    <xf numFmtId="0" fontId="3" fillId="0" borderId="0" xfId="0" applyFont="1"/>
    <xf numFmtId="0" fontId="4" fillId="0" borderId="0" xfId="0" applyFont="1"/>
    <xf numFmtId="0" fontId="6" fillId="0" borderId="0" xfId="0" applyFont="1" applyAlignment="1">
      <alignment horizontal="center"/>
    </xf>
    <xf numFmtId="0" fontId="6" fillId="0" borderId="0" xfId="0" applyFont="1"/>
    <xf numFmtId="0" fontId="1" fillId="0" borderId="1" xfId="0" applyFont="1" applyBorder="1" applyAlignment="1">
      <alignment horizontal="center"/>
    </xf>
    <xf numFmtId="1" fontId="1" fillId="0" borderId="1" xfId="0" applyNumberFormat="1" applyFont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20" fontId="0" fillId="0" borderId="1" xfId="0" applyNumberFormat="1" applyBorder="1" applyAlignment="1">
      <alignment horizontal="center"/>
    </xf>
    <xf numFmtId="0" fontId="2" fillId="0" borderId="1" xfId="0" applyFont="1" applyBorder="1"/>
    <xf numFmtId="1" fontId="0" fillId="0" borderId="1" xfId="0" applyNumberFormat="1" applyBorder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8" fillId="0" borderId="0" xfId="0" applyFont="1"/>
    <xf numFmtId="0" fontId="9" fillId="0" borderId="0" xfId="0" applyFont="1"/>
    <xf numFmtId="0" fontId="2" fillId="0" borderId="1" xfId="0" applyFont="1" applyBorder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center"/>
    </xf>
    <xf numFmtId="0" fontId="0" fillId="0" borderId="1" xfId="0" applyBorder="1"/>
    <xf numFmtId="0" fontId="1" fillId="0" borderId="1" xfId="0" applyFont="1" applyBorder="1" applyAlignment="1">
      <alignment horizontal="center"/>
    </xf>
    <xf numFmtId="0" fontId="1" fillId="0" borderId="1" xfId="0" applyFont="1" applyBorder="1"/>
    <xf numFmtId="0" fontId="1" fillId="0" borderId="1" xfId="0" applyFont="1" applyBorder="1" applyAlignment="1">
      <alignment horizontal="center" vertical="center"/>
    </xf>
    <xf numFmtId="14" fontId="1" fillId="0" borderId="1" xfId="0" applyNumberFormat="1" applyFont="1" applyBorder="1"/>
    <xf numFmtId="0" fontId="7" fillId="0" borderId="0" xfId="0" applyFont="1"/>
    <xf numFmtId="0" fontId="7" fillId="0" borderId="1" xfId="0" applyFont="1" applyBorder="1"/>
    <xf numFmtId="0" fontId="5" fillId="0" borderId="0" xfId="0" applyFont="1" applyAlignment="1">
      <alignment horizontal="left"/>
    </xf>
    <xf numFmtId="0" fontId="6" fillId="0" borderId="0" xfId="0" applyFont="1" applyAlignment="1">
      <alignment horizontal="left"/>
    </xf>
    <xf numFmtId="0" fontId="4" fillId="0" borderId="0" xfId="0" applyFont="1" applyAlignment="1">
      <alignment horizontal="center"/>
    </xf>
    <xf numFmtId="0" fontId="10" fillId="0" borderId="0" xfId="0" applyFont="1"/>
    <xf numFmtId="0" fontId="11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D3D3D3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G35"/>
  <sheetViews>
    <sheetView tabSelected="1" workbookViewId="0">
      <selection activeCell="C8" sqref="C8"/>
    </sheetView>
  </sheetViews>
  <sheetFormatPr defaultRowHeight="12.75"/>
  <cols>
    <col min="1" max="1" width="10.140625" style="1" bestFit="1" customWidth="1"/>
    <col min="2" max="2" width="10.85546875" style="1" bestFit="1" customWidth="1"/>
    <col min="3" max="3" width="29.85546875" bestFit="1" customWidth="1"/>
    <col min="4" max="4" width="11.7109375" style="4" bestFit="1" customWidth="1"/>
    <col min="5" max="5" width="1.42578125" customWidth="1"/>
    <col min="6" max="6" width="27" style="18" bestFit="1" customWidth="1"/>
    <col min="7" max="7" width="50" style="18" bestFit="1" customWidth="1"/>
  </cols>
  <sheetData>
    <row r="1" spans="1:7" s="8" customFormat="1" ht="26.25">
      <c r="A1" s="7" t="s">
        <v>10</v>
      </c>
      <c r="B1" s="7"/>
      <c r="C1" s="7"/>
      <c r="D1" s="7"/>
      <c r="F1" s="17"/>
      <c r="G1" s="17"/>
    </row>
    <row r="2" spans="1:7" s="6" customFormat="1" ht="18">
      <c r="A2" s="31" t="s">
        <v>3</v>
      </c>
      <c r="B2" s="31"/>
      <c r="C2" s="31"/>
      <c r="D2" s="31"/>
      <c r="F2" s="33"/>
      <c r="G2" s="33"/>
    </row>
    <row r="4" spans="1:7" s="2" customFormat="1">
      <c r="A4" s="9" t="s">
        <v>8</v>
      </c>
      <c r="B4" s="9" t="s">
        <v>0</v>
      </c>
      <c r="C4" s="9" t="s">
        <v>1</v>
      </c>
      <c r="D4" s="10" t="s">
        <v>9</v>
      </c>
      <c r="F4" s="16" t="s">
        <v>11</v>
      </c>
      <c r="G4" s="16" t="s">
        <v>14</v>
      </c>
    </row>
    <row r="5" spans="1:7" ht="12.75" customHeight="1">
      <c r="A5" s="11">
        <v>41791</v>
      </c>
      <c r="B5" s="12">
        <v>0.45833333333333331</v>
      </c>
      <c r="C5" s="13" t="s">
        <v>2</v>
      </c>
      <c r="D5" s="14">
        <v>1</v>
      </c>
    </row>
    <row r="6" spans="1:7">
      <c r="A6" s="11">
        <v>41792</v>
      </c>
      <c r="B6" s="12">
        <v>0.45833333333333331</v>
      </c>
      <c r="C6" s="13" t="s">
        <v>2</v>
      </c>
      <c r="D6" s="14">
        <v>2</v>
      </c>
    </row>
    <row r="7" spans="1:7">
      <c r="A7" s="11">
        <v>41793</v>
      </c>
      <c r="B7" s="12">
        <v>0.45833333333333331</v>
      </c>
      <c r="C7" s="13" t="s">
        <v>2</v>
      </c>
      <c r="D7" s="14">
        <v>3</v>
      </c>
    </row>
    <row r="8" spans="1:7">
      <c r="A8" s="11">
        <v>41794</v>
      </c>
      <c r="B8" s="12">
        <v>0.45833333333333331</v>
      </c>
      <c r="C8" s="13" t="s">
        <v>2</v>
      </c>
      <c r="D8" s="14">
        <v>4</v>
      </c>
    </row>
    <row r="9" spans="1:7">
      <c r="A9" s="11">
        <v>41795</v>
      </c>
      <c r="B9" s="12">
        <v>0.45833333333333331</v>
      </c>
      <c r="C9" s="13" t="s">
        <v>2</v>
      </c>
      <c r="D9" s="14">
        <v>5</v>
      </c>
    </row>
    <row r="10" spans="1:7">
      <c r="A10" s="11">
        <v>41796</v>
      </c>
      <c r="B10" s="12">
        <v>0.45833333333333331</v>
      </c>
      <c r="C10" s="13" t="s">
        <v>2</v>
      </c>
      <c r="D10" s="14">
        <v>1</v>
      </c>
    </row>
    <row r="11" spans="1:7">
      <c r="A11" s="11">
        <v>41797</v>
      </c>
      <c r="B11" s="12">
        <v>0.45833333333333331</v>
      </c>
      <c r="C11" s="13" t="s">
        <v>2</v>
      </c>
      <c r="D11" s="14">
        <v>2</v>
      </c>
    </row>
    <row r="12" spans="1:7">
      <c r="A12" s="11">
        <v>41798</v>
      </c>
      <c r="B12" s="12">
        <v>0.45833333333333331</v>
      </c>
      <c r="C12" s="13" t="s">
        <v>2</v>
      </c>
      <c r="D12" s="14">
        <v>3</v>
      </c>
    </row>
    <row r="13" spans="1:7">
      <c r="A13" s="11">
        <v>41799</v>
      </c>
      <c r="B13" s="12">
        <v>0.45833333333333331</v>
      </c>
      <c r="C13" s="13" t="s">
        <v>2</v>
      </c>
      <c r="D13" s="14">
        <v>4</v>
      </c>
    </row>
    <row r="14" spans="1:7">
      <c r="A14" s="11">
        <v>41800</v>
      </c>
      <c r="B14" s="12">
        <v>0.45833333333333331</v>
      </c>
      <c r="C14" s="13" t="s">
        <v>2</v>
      </c>
      <c r="D14" s="14">
        <v>5</v>
      </c>
    </row>
    <row r="15" spans="1:7">
      <c r="A15" s="11">
        <v>41801</v>
      </c>
      <c r="B15" s="12">
        <v>0.45833333333333331</v>
      </c>
      <c r="C15" s="13" t="s">
        <v>2</v>
      </c>
      <c r="D15" s="14">
        <v>1</v>
      </c>
    </row>
    <row r="16" spans="1:7">
      <c r="A16" s="11">
        <v>41802</v>
      </c>
      <c r="B16" s="12">
        <v>0.45833333333333331</v>
      </c>
      <c r="C16" s="13" t="s">
        <v>2</v>
      </c>
      <c r="D16" s="14">
        <v>2</v>
      </c>
    </row>
    <row r="17" spans="1:4">
      <c r="A17" s="11">
        <v>41803</v>
      </c>
      <c r="B17" s="12">
        <v>0.45833333333333331</v>
      </c>
      <c r="C17" s="13" t="s">
        <v>2</v>
      </c>
      <c r="D17" s="14">
        <v>3</v>
      </c>
    </row>
    <row r="18" spans="1:4">
      <c r="A18" s="11">
        <v>41804</v>
      </c>
      <c r="B18" s="12">
        <v>0.45833333333333331</v>
      </c>
      <c r="C18" s="13" t="s">
        <v>2</v>
      </c>
      <c r="D18" s="14">
        <v>4</v>
      </c>
    </row>
    <row r="19" spans="1:4">
      <c r="A19" s="11">
        <v>41805</v>
      </c>
      <c r="B19" s="12">
        <v>0.45833333333333331</v>
      </c>
      <c r="C19" s="13" t="s">
        <v>2</v>
      </c>
      <c r="D19" s="14">
        <v>5</v>
      </c>
    </row>
    <row r="20" spans="1:4">
      <c r="A20" s="11">
        <v>41806</v>
      </c>
      <c r="B20" s="12">
        <v>0.45833333333333331</v>
      </c>
      <c r="C20" s="13" t="s">
        <v>2</v>
      </c>
      <c r="D20" s="14">
        <v>1</v>
      </c>
    </row>
    <row r="21" spans="1:4">
      <c r="A21" s="11">
        <v>41807</v>
      </c>
      <c r="B21" s="12">
        <v>0.45833333333333331</v>
      </c>
      <c r="C21" s="13" t="s">
        <v>2</v>
      </c>
      <c r="D21" s="14">
        <v>2</v>
      </c>
    </row>
    <row r="22" spans="1:4">
      <c r="A22" s="11">
        <v>41808</v>
      </c>
      <c r="B22" s="12">
        <v>0.45833333333333331</v>
      </c>
      <c r="C22" s="13" t="s">
        <v>2</v>
      </c>
      <c r="D22" s="14">
        <v>3</v>
      </c>
    </row>
    <row r="23" spans="1:4">
      <c r="A23" s="11">
        <v>41809</v>
      </c>
      <c r="B23" s="12">
        <v>0.45833333333333331</v>
      </c>
      <c r="C23" s="13" t="s">
        <v>2</v>
      </c>
      <c r="D23" s="14">
        <v>4</v>
      </c>
    </row>
    <row r="24" spans="1:4">
      <c r="A24" s="11">
        <v>41810</v>
      </c>
      <c r="B24" s="12">
        <v>0.45833333333333331</v>
      </c>
      <c r="C24" s="13" t="s">
        <v>2</v>
      </c>
      <c r="D24" s="14">
        <v>5</v>
      </c>
    </row>
    <row r="25" spans="1:4">
      <c r="A25" s="11">
        <v>41811</v>
      </c>
      <c r="B25" s="12">
        <v>0.45833333333333331</v>
      </c>
      <c r="C25" s="13" t="s">
        <v>2</v>
      </c>
      <c r="D25" s="14">
        <v>1</v>
      </c>
    </row>
    <row r="26" spans="1:4">
      <c r="A26" s="11">
        <v>41812</v>
      </c>
      <c r="B26" s="12">
        <v>0.45833333333333331</v>
      </c>
      <c r="C26" s="13" t="s">
        <v>2</v>
      </c>
      <c r="D26" s="14">
        <v>2</v>
      </c>
    </row>
    <row r="27" spans="1:4">
      <c r="A27" s="11">
        <v>41813</v>
      </c>
      <c r="B27" s="12">
        <v>0.45833333333333331</v>
      </c>
      <c r="C27" s="13" t="s">
        <v>2</v>
      </c>
      <c r="D27" s="14">
        <v>3</v>
      </c>
    </row>
    <row r="28" spans="1:4">
      <c r="A28" s="11">
        <v>41814</v>
      </c>
      <c r="B28" s="12">
        <v>0.45833333333333331</v>
      </c>
      <c r="C28" s="13" t="s">
        <v>2</v>
      </c>
      <c r="D28" s="14">
        <v>4</v>
      </c>
    </row>
    <row r="29" spans="1:4">
      <c r="A29" s="11">
        <v>41815</v>
      </c>
      <c r="B29" s="12">
        <v>0.45833333333333331</v>
      </c>
      <c r="C29" s="13" t="s">
        <v>2</v>
      </c>
      <c r="D29" s="14">
        <v>5</v>
      </c>
    </row>
    <row r="30" spans="1:4">
      <c r="A30" s="11">
        <v>41816</v>
      </c>
      <c r="B30" s="12">
        <v>0.45833333333333331</v>
      </c>
      <c r="C30" s="13" t="s">
        <v>2</v>
      </c>
      <c r="D30" s="14">
        <v>1</v>
      </c>
    </row>
    <row r="31" spans="1:4">
      <c r="A31" s="11">
        <v>41817</v>
      </c>
      <c r="B31" s="12">
        <v>0.45833333333333331</v>
      </c>
      <c r="C31" s="13" t="s">
        <v>2</v>
      </c>
      <c r="D31" s="14">
        <v>2</v>
      </c>
    </row>
    <row r="32" spans="1:4">
      <c r="A32" s="11">
        <v>41818</v>
      </c>
      <c r="B32" s="12">
        <v>0.45833333333333331</v>
      </c>
      <c r="C32" s="13" t="s">
        <v>2</v>
      </c>
      <c r="D32" s="14">
        <v>3</v>
      </c>
    </row>
    <row r="33" spans="1:7">
      <c r="A33" s="11">
        <v>41819</v>
      </c>
      <c r="B33" s="12">
        <v>0.45833333333333331</v>
      </c>
      <c r="C33" s="13" t="s">
        <v>2</v>
      </c>
      <c r="D33" s="14">
        <v>4</v>
      </c>
    </row>
    <row r="34" spans="1:7">
      <c r="A34" s="11">
        <v>41820</v>
      </c>
      <c r="B34" s="12">
        <v>0.45833333333333331</v>
      </c>
      <c r="C34" s="13" t="s">
        <v>2</v>
      </c>
      <c r="D34" s="14">
        <v>5</v>
      </c>
    </row>
    <row r="35" spans="1:7" s="3" customFormat="1">
      <c r="A35" s="23" t="s">
        <v>15</v>
      </c>
      <c r="B35" s="23"/>
      <c r="C35" s="23"/>
      <c r="D35" s="10">
        <f>COUNT(D5:D34)</f>
        <v>30</v>
      </c>
      <c r="F35" s="27" t="s">
        <v>16</v>
      </c>
      <c r="G35" s="27"/>
    </row>
  </sheetData>
  <mergeCells count="2">
    <mergeCell ref="A1:D1"/>
    <mergeCell ref="A35:C35"/>
  </mergeCell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AG20"/>
  <sheetViews>
    <sheetView workbookViewId="0">
      <selection activeCell="A9" sqref="A9:B9"/>
    </sheetView>
  </sheetViews>
  <sheetFormatPr defaultRowHeight="12.75"/>
  <cols>
    <col min="1" max="1" width="15.28515625" style="1" bestFit="1" customWidth="1"/>
    <col min="2" max="2" width="29.85546875" bestFit="1" customWidth="1"/>
    <col min="3" max="3" width="10.85546875" bestFit="1" customWidth="1"/>
    <col min="4" max="32" width="10.140625" bestFit="1" customWidth="1"/>
    <col min="33" max="33" width="16.5703125" style="3" bestFit="1" customWidth="1"/>
  </cols>
  <sheetData>
    <row r="1" spans="1:33" s="30" customFormat="1" ht="26.25">
      <c r="A1" s="30" t="s">
        <v>20</v>
      </c>
    </row>
    <row r="3" spans="1:33" s="5" customFormat="1" ht="15.75">
      <c r="A3" s="20" t="s">
        <v>12</v>
      </c>
      <c r="B3" s="5" t="s">
        <v>3</v>
      </c>
    </row>
    <row r="4" spans="1:33" ht="7.5" customHeight="1"/>
    <row r="5" spans="1:33" s="2" customFormat="1">
      <c r="A5" s="25" t="s">
        <v>0</v>
      </c>
      <c r="B5" s="25" t="s">
        <v>1</v>
      </c>
      <c r="C5" s="23" t="s">
        <v>9</v>
      </c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3"/>
      <c r="AG5" s="25" t="s">
        <v>19</v>
      </c>
    </row>
    <row r="6" spans="1:33" s="3" customFormat="1">
      <c r="A6" s="25"/>
      <c r="B6" s="25"/>
      <c r="C6" s="26">
        <v>41791</v>
      </c>
      <c r="D6" s="26">
        <v>41792</v>
      </c>
      <c r="E6" s="26">
        <v>41793</v>
      </c>
      <c r="F6" s="26">
        <v>41794</v>
      </c>
      <c r="G6" s="26">
        <v>41795</v>
      </c>
      <c r="H6" s="26">
        <v>41796</v>
      </c>
      <c r="I6" s="26">
        <v>41797</v>
      </c>
      <c r="J6" s="26">
        <v>41798</v>
      </c>
      <c r="K6" s="26">
        <v>41799</v>
      </c>
      <c r="L6" s="26">
        <v>41800</v>
      </c>
      <c r="M6" s="26">
        <v>41801</v>
      </c>
      <c r="N6" s="26">
        <v>41802</v>
      </c>
      <c r="O6" s="26">
        <v>41803</v>
      </c>
      <c r="P6" s="26">
        <v>41804</v>
      </c>
      <c r="Q6" s="26">
        <v>41805</v>
      </c>
      <c r="R6" s="26">
        <v>41806</v>
      </c>
      <c r="S6" s="26">
        <v>41807</v>
      </c>
      <c r="T6" s="26">
        <v>41808</v>
      </c>
      <c r="U6" s="26">
        <v>41809</v>
      </c>
      <c r="V6" s="26">
        <v>41810</v>
      </c>
      <c r="W6" s="26">
        <v>41811</v>
      </c>
      <c r="X6" s="26">
        <v>41812</v>
      </c>
      <c r="Y6" s="26">
        <v>41813</v>
      </c>
      <c r="Z6" s="26">
        <v>41814</v>
      </c>
      <c r="AA6" s="26">
        <v>41815</v>
      </c>
      <c r="AB6" s="26">
        <v>41816</v>
      </c>
      <c r="AC6" s="26">
        <v>41817</v>
      </c>
      <c r="AD6" s="26">
        <v>41818</v>
      </c>
      <c r="AE6" s="26">
        <v>41819</v>
      </c>
      <c r="AF6" s="26">
        <v>41820</v>
      </c>
      <c r="AG6" s="25"/>
    </row>
    <row r="7" spans="1:33">
      <c r="A7" s="12">
        <v>0.45833333333333331</v>
      </c>
      <c r="B7" s="22" t="s">
        <v>2</v>
      </c>
      <c r="C7" s="22">
        <v>1</v>
      </c>
      <c r="D7" s="22"/>
      <c r="E7" s="22">
        <v>2</v>
      </c>
      <c r="F7" s="22"/>
      <c r="G7" s="22"/>
      <c r="H7" s="22">
        <v>4</v>
      </c>
      <c r="I7" s="22"/>
      <c r="J7" s="22"/>
      <c r="K7" s="22"/>
      <c r="L7" s="22"/>
      <c r="M7" s="22">
        <v>7</v>
      </c>
      <c r="N7" s="22"/>
      <c r="O7" s="22"/>
      <c r="P7" s="22"/>
      <c r="Q7" s="22">
        <v>9</v>
      </c>
      <c r="R7" s="22"/>
      <c r="S7" s="22"/>
      <c r="T7" s="22">
        <v>11</v>
      </c>
      <c r="U7" s="22"/>
      <c r="V7" s="22"/>
      <c r="W7" s="22">
        <v>13</v>
      </c>
      <c r="X7" s="22"/>
      <c r="Y7" s="22"/>
      <c r="Z7" s="22"/>
      <c r="AA7" s="22"/>
      <c r="AB7" s="22"/>
      <c r="AC7" s="22">
        <v>15</v>
      </c>
      <c r="AD7" s="22"/>
      <c r="AE7" s="22"/>
      <c r="AF7" s="22"/>
      <c r="AG7" s="24">
        <f>COUNT(C7:AF7)</f>
        <v>8</v>
      </c>
    </row>
    <row r="8" spans="1:33">
      <c r="A8" s="12">
        <v>0.58333333333333337</v>
      </c>
      <c r="B8" s="22" t="s">
        <v>4</v>
      </c>
      <c r="C8" s="22"/>
      <c r="D8" s="22"/>
      <c r="E8" s="22"/>
      <c r="F8" s="22">
        <v>3</v>
      </c>
      <c r="G8" s="22"/>
      <c r="H8" s="22"/>
      <c r="I8" s="22">
        <v>5</v>
      </c>
      <c r="J8" s="22"/>
      <c r="K8" s="22">
        <v>6</v>
      </c>
      <c r="L8" s="22"/>
      <c r="M8" s="22"/>
      <c r="N8" s="22"/>
      <c r="O8" s="22">
        <v>8</v>
      </c>
      <c r="P8" s="22"/>
      <c r="Q8" s="22"/>
      <c r="R8" s="22">
        <v>10</v>
      </c>
      <c r="S8" s="22"/>
      <c r="T8" s="22">
        <v>12</v>
      </c>
      <c r="U8" s="22"/>
      <c r="V8" s="22"/>
      <c r="W8" s="22"/>
      <c r="X8" s="22"/>
      <c r="Y8" s="22"/>
      <c r="Z8" s="22">
        <v>14</v>
      </c>
      <c r="AA8" s="22"/>
      <c r="AB8" s="22"/>
      <c r="AC8" s="22"/>
      <c r="AD8" s="22"/>
      <c r="AE8" s="22">
        <v>16</v>
      </c>
      <c r="AF8" s="22">
        <v>17</v>
      </c>
      <c r="AG8" s="24">
        <f>COUNT(C8:AF8)</f>
        <v>9</v>
      </c>
    </row>
    <row r="9" spans="1:33" s="3" customFormat="1">
      <c r="A9" s="23" t="s">
        <v>15</v>
      </c>
      <c r="B9" s="23"/>
      <c r="C9" s="24">
        <f>COUNT(C7:C8)</f>
        <v>1</v>
      </c>
      <c r="D9" s="24">
        <f t="shared" ref="D9:AF9" si="0">COUNT(D7:D8)</f>
        <v>0</v>
      </c>
      <c r="E9" s="24">
        <f t="shared" si="0"/>
        <v>1</v>
      </c>
      <c r="F9" s="24">
        <f t="shared" si="0"/>
        <v>1</v>
      </c>
      <c r="G9" s="24">
        <f t="shared" si="0"/>
        <v>0</v>
      </c>
      <c r="H9" s="24">
        <f t="shared" si="0"/>
        <v>1</v>
      </c>
      <c r="I9" s="24">
        <f t="shared" si="0"/>
        <v>1</v>
      </c>
      <c r="J9" s="24">
        <f t="shared" si="0"/>
        <v>0</v>
      </c>
      <c r="K9" s="24">
        <f t="shared" si="0"/>
        <v>1</v>
      </c>
      <c r="L9" s="24">
        <f t="shared" si="0"/>
        <v>0</v>
      </c>
      <c r="M9" s="24">
        <f t="shared" si="0"/>
        <v>1</v>
      </c>
      <c r="N9" s="24">
        <f t="shared" si="0"/>
        <v>0</v>
      </c>
      <c r="O9" s="24">
        <f t="shared" si="0"/>
        <v>1</v>
      </c>
      <c r="P9" s="24">
        <f t="shared" si="0"/>
        <v>0</v>
      </c>
      <c r="Q9" s="24">
        <f t="shared" si="0"/>
        <v>1</v>
      </c>
      <c r="R9" s="24">
        <f t="shared" si="0"/>
        <v>1</v>
      </c>
      <c r="S9" s="24">
        <f t="shared" si="0"/>
        <v>0</v>
      </c>
      <c r="T9" s="24">
        <f t="shared" si="0"/>
        <v>2</v>
      </c>
      <c r="U9" s="24">
        <f t="shared" si="0"/>
        <v>0</v>
      </c>
      <c r="V9" s="24">
        <f t="shared" si="0"/>
        <v>0</v>
      </c>
      <c r="W9" s="24">
        <f t="shared" si="0"/>
        <v>1</v>
      </c>
      <c r="X9" s="24">
        <f t="shared" si="0"/>
        <v>0</v>
      </c>
      <c r="Y9" s="24">
        <f t="shared" si="0"/>
        <v>0</v>
      </c>
      <c r="Z9" s="24">
        <f t="shared" si="0"/>
        <v>1</v>
      </c>
      <c r="AA9" s="24">
        <f t="shared" si="0"/>
        <v>0</v>
      </c>
      <c r="AB9" s="24">
        <f t="shared" si="0"/>
        <v>0</v>
      </c>
      <c r="AC9" s="24">
        <f t="shared" si="0"/>
        <v>1</v>
      </c>
      <c r="AD9" s="24">
        <f t="shared" si="0"/>
        <v>0</v>
      </c>
      <c r="AE9" s="24">
        <f t="shared" si="0"/>
        <v>1</v>
      </c>
      <c r="AF9" s="24">
        <f t="shared" si="0"/>
        <v>1</v>
      </c>
      <c r="AG9" s="28">
        <f>SUM(AG7:AG8)</f>
        <v>17</v>
      </c>
    </row>
    <row r="11" spans="1:33" s="5" customFormat="1" ht="15.75">
      <c r="A11" s="20" t="s">
        <v>12</v>
      </c>
      <c r="B11" s="5" t="s">
        <v>5</v>
      </c>
    </row>
    <row r="12" spans="1:33" ht="7.5" customHeight="1"/>
    <row r="13" spans="1:33" s="2" customFormat="1">
      <c r="A13" s="25" t="s">
        <v>0</v>
      </c>
      <c r="B13" s="25" t="s">
        <v>1</v>
      </c>
      <c r="C13" s="23" t="s">
        <v>9</v>
      </c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5" t="s">
        <v>19</v>
      </c>
    </row>
    <row r="14" spans="1:33" s="3" customFormat="1">
      <c r="A14" s="25"/>
      <c r="B14" s="25"/>
      <c r="C14" s="26">
        <v>41791</v>
      </c>
      <c r="D14" s="26">
        <v>41792</v>
      </c>
      <c r="E14" s="26">
        <v>41793</v>
      </c>
      <c r="F14" s="26">
        <v>41794</v>
      </c>
      <c r="G14" s="26">
        <v>41795</v>
      </c>
      <c r="H14" s="26">
        <v>41796</v>
      </c>
      <c r="I14" s="26">
        <v>41797</v>
      </c>
      <c r="J14" s="26">
        <v>41798</v>
      </c>
      <c r="K14" s="26">
        <v>41799</v>
      </c>
      <c r="L14" s="26">
        <v>41800</v>
      </c>
      <c r="M14" s="26">
        <v>41801</v>
      </c>
      <c r="N14" s="26">
        <v>41802</v>
      </c>
      <c r="O14" s="26">
        <v>41803</v>
      </c>
      <c r="P14" s="26">
        <v>41804</v>
      </c>
      <c r="Q14" s="26">
        <v>41805</v>
      </c>
      <c r="R14" s="26">
        <v>41806</v>
      </c>
      <c r="S14" s="26">
        <v>41807</v>
      </c>
      <c r="T14" s="26">
        <v>41808</v>
      </c>
      <c r="U14" s="26">
        <v>41809</v>
      </c>
      <c r="V14" s="26">
        <v>41810</v>
      </c>
      <c r="W14" s="26">
        <v>41811</v>
      </c>
      <c r="X14" s="26">
        <v>41812</v>
      </c>
      <c r="Y14" s="26">
        <v>41813</v>
      </c>
      <c r="Z14" s="26">
        <v>41814</v>
      </c>
      <c r="AA14" s="26">
        <v>41815</v>
      </c>
      <c r="AB14" s="26">
        <v>41816</v>
      </c>
      <c r="AC14" s="26">
        <v>41817</v>
      </c>
      <c r="AD14" s="26">
        <v>41818</v>
      </c>
      <c r="AE14" s="26">
        <v>41819</v>
      </c>
      <c r="AF14" s="26">
        <v>41820</v>
      </c>
      <c r="AG14" s="25"/>
    </row>
    <row r="15" spans="1:33">
      <c r="A15" s="12">
        <v>0.45833333333333331</v>
      </c>
      <c r="B15" s="22" t="s">
        <v>6</v>
      </c>
      <c r="C15" s="22">
        <v>1</v>
      </c>
      <c r="D15" s="22"/>
      <c r="E15" s="22"/>
      <c r="F15" s="22">
        <v>2</v>
      </c>
      <c r="G15" s="22"/>
      <c r="H15" s="22"/>
      <c r="I15" s="22"/>
      <c r="J15" s="22"/>
      <c r="K15" s="22"/>
      <c r="L15" s="22"/>
      <c r="M15" s="22">
        <v>6</v>
      </c>
      <c r="N15" s="22"/>
      <c r="O15" s="22"/>
      <c r="P15" s="22"/>
      <c r="Q15" s="22">
        <v>8</v>
      </c>
      <c r="R15" s="22"/>
      <c r="S15" s="22"/>
      <c r="T15" s="22">
        <v>9</v>
      </c>
      <c r="U15" s="22"/>
      <c r="V15" s="22"/>
      <c r="W15" s="22"/>
      <c r="X15" s="22"/>
      <c r="Y15" s="22">
        <v>11</v>
      </c>
      <c r="Z15" s="22"/>
      <c r="AA15" s="22"/>
      <c r="AB15" s="22">
        <v>12</v>
      </c>
      <c r="AC15" s="22"/>
      <c r="AD15" s="22"/>
      <c r="AE15" s="22"/>
      <c r="AF15" s="22">
        <v>14</v>
      </c>
      <c r="AG15" s="24">
        <f>COUNT(C15:AF15)</f>
        <v>8</v>
      </c>
    </row>
    <row r="16" spans="1:33">
      <c r="A16" s="12">
        <v>0.58333333333333337</v>
      </c>
      <c r="B16" s="22" t="s">
        <v>7</v>
      </c>
      <c r="C16" s="22"/>
      <c r="D16" s="22"/>
      <c r="E16" s="22"/>
      <c r="F16" s="22"/>
      <c r="G16" s="22"/>
      <c r="H16" s="22"/>
      <c r="I16" s="22">
        <v>3</v>
      </c>
      <c r="J16" s="22">
        <v>4</v>
      </c>
      <c r="K16" s="22">
        <v>5</v>
      </c>
      <c r="L16" s="22"/>
      <c r="M16" s="22">
        <v>7</v>
      </c>
      <c r="N16" s="22"/>
      <c r="O16" s="22"/>
      <c r="P16" s="22"/>
      <c r="Q16" s="22"/>
      <c r="R16" s="22"/>
      <c r="S16" s="22"/>
      <c r="T16" s="22"/>
      <c r="U16" s="22"/>
      <c r="V16" s="22">
        <v>10</v>
      </c>
      <c r="W16" s="22"/>
      <c r="X16" s="22"/>
      <c r="Y16" s="22"/>
      <c r="Z16" s="22"/>
      <c r="AA16" s="22"/>
      <c r="AB16" s="22"/>
      <c r="AC16" s="22"/>
      <c r="AD16" s="22">
        <v>13</v>
      </c>
      <c r="AE16" s="22"/>
      <c r="AF16" s="22">
        <v>15</v>
      </c>
      <c r="AG16" s="24">
        <f>COUNT(C16:AF16)</f>
        <v>7</v>
      </c>
    </row>
    <row r="17" spans="1:33" s="3" customFormat="1">
      <c r="A17" s="23" t="s">
        <v>15</v>
      </c>
      <c r="B17" s="23"/>
      <c r="C17" s="24">
        <f>COUNT(C15:C16)</f>
        <v>1</v>
      </c>
      <c r="D17" s="24">
        <f t="shared" ref="D17" si="1">COUNT(D15:D16)</f>
        <v>0</v>
      </c>
      <c r="E17" s="24">
        <f t="shared" ref="E17" si="2">COUNT(E15:E16)</f>
        <v>0</v>
      </c>
      <c r="F17" s="24">
        <f t="shared" ref="F17" si="3">COUNT(F15:F16)</f>
        <v>1</v>
      </c>
      <c r="G17" s="24">
        <f t="shared" ref="G17" si="4">COUNT(G15:G16)</f>
        <v>0</v>
      </c>
      <c r="H17" s="24">
        <f t="shared" ref="H17" si="5">COUNT(H15:H16)</f>
        <v>0</v>
      </c>
      <c r="I17" s="24">
        <f t="shared" ref="I17" si="6">COUNT(I15:I16)</f>
        <v>1</v>
      </c>
      <c r="J17" s="24">
        <f t="shared" ref="J17" si="7">COUNT(J15:J16)</f>
        <v>1</v>
      </c>
      <c r="K17" s="24">
        <f t="shared" ref="K17" si="8">COUNT(K15:K16)</f>
        <v>1</v>
      </c>
      <c r="L17" s="24">
        <f t="shared" ref="L17" si="9">COUNT(L15:L16)</f>
        <v>0</v>
      </c>
      <c r="M17" s="24">
        <f t="shared" ref="M17" si="10">COUNT(M15:M16)</f>
        <v>2</v>
      </c>
      <c r="N17" s="24">
        <f t="shared" ref="N17" si="11">COUNT(N15:N16)</f>
        <v>0</v>
      </c>
      <c r="O17" s="24">
        <f t="shared" ref="O17" si="12">COUNT(O15:O16)</f>
        <v>0</v>
      </c>
      <c r="P17" s="24">
        <f t="shared" ref="P17" si="13">COUNT(P15:P16)</f>
        <v>0</v>
      </c>
      <c r="Q17" s="24">
        <f t="shared" ref="Q17" si="14">COUNT(Q15:Q16)</f>
        <v>1</v>
      </c>
      <c r="R17" s="24">
        <f t="shared" ref="R17" si="15">COUNT(R15:R16)</f>
        <v>0</v>
      </c>
      <c r="S17" s="24">
        <f t="shared" ref="S17" si="16">COUNT(S15:S16)</f>
        <v>0</v>
      </c>
      <c r="T17" s="24">
        <f t="shared" ref="T17" si="17">COUNT(T15:T16)</f>
        <v>1</v>
      </c>
      <c r="U17" s="24">
        <f t="shared" ref="U17" si="18">COUNT(U15:U16)</f>
        <v>0</v>
      </c>
      <c r="V17" s="24">
        <f t="shared" ref="V17" si="19">COUNT(V15:V16)</f>
        <v>1</v>
      </c>
      <c r="W17" s="24">
        <f t="shared" ref="W17" si="20">COUNT(W15:W16)</f>
        <v>0</v>
      </c>
      <c r="X17" s="24">
        <f t="shared" ref="X17" si="21">COUNT(X15:X16)</f>
        <v>0</v>
      </c>
      <c r="Y17" s="24">
        <f t="shared" ref="Y17" si="22">COUNT(Y15:Y16)</f>
        <v>1</v>
      </c>
      <c r="Z17" s="24">
        <f t="shared" ref="Z17" si="23">COUNT(Z15:Z16)</f>
        <v>0</v>
      </c>
      <c r="AA17" s="24">
        <f t="shared" ref="AA17" si="24">COUNT(AA15:AA16)</f>
        <v>0</v>
      </c>
      <c r="AB17" s="24">
        <f t="shared" ref="AB17" si="25">COUNT(AB15:AB16)</f>
        <v>1</v>
      </c>
      <c r="AC17" s="24">
        <f t="shared" ref="AC17" si="26">COUNT(AC15:AC16)</f>
        <v>0</v>
      </c>
      <c r="AD17" s="24">
        <f t="shared" ref="AD17" si="27">COUNT(AD15:AD16)</f>
        <v>1</v>
      </c>
      <c r="AE17" s="24">
        <f t="shared" ref="AE17" si="28">COUNT(AE15:AE16)</f>
        <v>0</v>
      </c>
      <c r="AF17" s="24">
        <f t="shared" ref="AF17" si="29">COUNT(AF15:AF16)</f>
        <v>2</v>
      </c>
      <c r="AG17" s="28">
        <f>SUM(AG15:AG16)</f>
        <v>15</v>
      </c>
    </row>
    <row r="20" spans="1:33" s="27" customFormat="1">
      <c r="A20" s="15" t="s">
        <v>11</v>
      </c>
      <c r="B20" s="27" t="s">
        <v>25</v>
      </c>
    </row>
  </sheetData>
  <mergeCells count="10">
    <mergeCell ref="A13:A14"/>
    <mergeCell ref="B13:B14"/>
    <mergeCell ref="C13:AF13"/>
    <mergeCell ref="AG13:AG14"/>
    <mergeCell ref="A17:B17"/>
    <mergeCell ref="B5:B6"/>
    <mergeCell ref="A5:A6"/>
    <mergeCell ref="C5:AF5"/>
    <mergeCell ref="A9:B9"/>
    <mergeCell ref="AG5:AG6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:AH13"/>
  <sheetViews>
    <sheetView workbookViewId="0">
      <selection activeCell="B12" sqref="B12"/>
    </sheetView>
  </sheetViews>
  <sheetFormatPr defaultRowHeight="12.75"/>
  <cols>
    <col min="1" max="1" width="15.28515625" style="1" bestFit="1" customWidth="1"/>
    <col min="2" max="2" width="12.42578125" bestFit="1" customWidth="1"/>
    <col min="3" max="3" width="8.85546875" bestFit="1" customWidth="1"/>
    <col min="4" max="4" width="10.85546875" bestFit="1" customWidth="1"/>
    <col min="5" max="33" width="10.140625" bestFit="1" customWidth="1"/>
    <col min="34" max="34" width="16.5703125" style="3" bestFit="1" customWidth="1"/>
  </cols>
  <sheetData>
    <row r="1" spans="1:4" s="29" customFormat="1" ht="20.25">
      <c r="A1" s="29" t="s">
        <v>23</v>
      </c>
    </row>
    <row r="3" spans="1:4" s="5" customFormat="1" ht="15.75">
      <c r="A3" s="21" t="s">
        <v>21</v>
      </c>
      <c r="D3" s="32" t="s">
        <v>26</v>
      </c>
    </row>
    <row r="4" spans="1:4" s="6" customFormat="1" ht="7.5" customHeight="1">
      <c r="A4" s="31"/>
    </row>
    <row r="5" spans="1:4" s="2" customFormat="1">
      <c r="A5" s="9" t="s">
        <v>22</v>
      </c>
      <c r="B5" s="9" t="s">
        <v>24</v>
      </c>
    </row>
    <row r="6" spans="1:4">
      <c r="A6" s="19" t="s">
        <v>3</v>
      </c>
      <c r="B6" s="22">
        <f>'Detail Instruktur per Bulan'!AG9</f>
        <v>17</v>
      </c>
    </row>
    <row r="7" spans="1:4">
      <c r="A7" s="19" t="s">
        <v>5</v>
      </c>
      <c r="B7" s="22">
        <f>'Detail Instruktur per Bulan'!AG17</f>
        <v>15</v>
      </c>
    </row>
    <row r="9" spans="1:4" s="5" customFormat="1" ht="15.75">
      <c r="A9" s="21" t="s">
        <v>13</v>
      </c>
      <c r="D9" s="32" t="s">
        <v>27</v>
      </c>
    </row>
    <row r="10" spans="1:4" s="6" customFormat="1" ht="7.5" customHeight="1">
      <c r="A10" s="31"/>
    </row>
    <row r="11" spans="1:4" s="2" customFormat="1">
      <c r="A11" s="9" t="s">
        <v>22</v>
      </c>
      <c r="B11" s="9" t="s">
        <v>24</v>
      </c>
    </row>
    <row r="12" spans="1:4">
      <c r="A12" s="19" t="s">
        <v>18</v>
      </c>
      <c r="B12" s="22">
        <v>5</v>
      </c>
    </row>
    <row r="13" spans="1:4">
      <c r="A13" s="19" t="s">
        <v>17</v>
      </c>
      <c r="B13" s="22">
        <v>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Laporan per Instruktur</vt:lpstr>
      <vt:lpstr>Detail Instruktur per Bulan</vt:lpstr>
      <vt:lpstr>Summary Instruktur per Bulan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2014-06-30T04:30:29Z</dcterms:created>
  <dcterms:modified xsi:type="dcterms:W3CDTF">2014-06-30T04:30:29Z</dcterms:modified>
</cp:coreProperties>
</file>